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ata Analytics\Excel-task-2\"/>
    </mc:Choice>
  </mc:AlternateContent>
  <xr:revisionPtr revIDLastSave="0" documentId="13_ncr:1_{7E7E8767-C73C-4648-857A-79CC7BE3C81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7" i="1" l="1"/>
  <c r="P7" i="1" s="1"/>
  <c r="Q7" i="1"/>
  <c r="O8" i="1"/>
  <c r="P8" i="1" s="1"/>
  <c r="Q8" i="1"/>
  <c r="R8" i="1"/>
  <c r="O9" i="1"/>
  <c r="P9" i="1" s="1"/>
  <c r="Q9" i="1"/>
  <c r="O10" i="1"/>
  <c r="P10" i="1" s="1"/>
  <c r="Q10" i="1"/>
  <c r="O11" i="1"/>
  <c r="P11" i="1" s="1"/>
  <c r="Q11" i="1"/>
  <c r="O12" i="1"/>
  <c r="P12" i="1" s="1"/>
  <c r="Q12" i="1"/>
  <c r="K3" i="1"/>
  <c r="R7" i="1" s="1"/>
  <c r="T3" i="1"/>
  <c r="P16" i="1" l="1"/>
  <c r="Q16" i="1" s="1"/>
  <c r="P17" i="1" s="1" a="1"/>
  <c r="P17" i="1" s="1"/>
  <c r="R12" i="1"/>
  <c r="R10" i="1"/>
  <c r="R11" i="1"/>
  <c r="R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<sst xmlns="http://schemas.openxmlformats.org/spreadsheetml/2006/main" count="62" uniqueCount="50">
  <si>
    <t>seat_no</t>
  </si>
  <si>
    <t>customer_name</t>
  </si>
  <si>
    <t>baggage_weight</t>
  </si>
  <si>
    <t>seat_class</t>
  </si>
  <si>
    <t>ticket_no</t>
  </si>
  <si>
    <t>price</t>
  </si>
  <si>
    <t>from</t>
  </si>
  <si>
    <t xml:space="preserve"> to</t>
  </si>
  <si>
    <t>time</t>
  </si>
  <si>
    <t>company</t>
  </si>
  <si>
    <t>difference</t>
  </si>
  <si>
    <t>output</t>
  </si>
  <si>
    <t>if else</t>
  </si>
  <si>
    <t>if else if</t>
  </si>
  <si>
    <t>cust1</t>
  </si>
  <si>
    <t>P</t>
  </si>
  <si>
    <t>T-101</t>
  </si>
  <si>
    <t>NAGPUR</t>
  </si>
  <si>
    <t>DELHI</t>
  </si>
  <si>
    <t>indigo</t>
  </si>
  <si>
    <t>cust2</t>
  </si>
  <si>
    <t>E</t>
  </si>
  <si>
    <t>T-102</t>
  </si>
  <si>
    <t>PUNE</t>
  </si>
  <si>
    <t>MUMBAI</t>
  </si>
  <si>
    <t>AIR INDIA</t>
  </si>
  <si>
    <t>ARC_cust</t>
  </si>
  <si>
    <t>L</t>
  </si>
  <si>
    <t>T-103</t>
  </si>
  <si>
    <t>DUBAI</t>
  </si>
  <si>
    <t>qatar airlines</t>
  </si>
  <si>
    <t>Vigo_cust</t>
  </si>
  <si>
    <t>T-104</t>
  </si>
  <si>
    <t>arc2</t>
  </si>
  <si>
    <t>T-105</t>
  </si>
  <si>
    <t>hyderabad</t>
  </si>
  <si>
    <t>DB_user1</t>
  </si>
  <si>
    <t>p</t>
  </si>
  <si>
    <t>T-106</t>
  </si>
  <si>
    <t>problem + logic = output</t>
  </si>
  <si>
    <t>which ticket can I buy</t>
  </si>
  <si>
    <t>Travel Time</t>
  </si>
  <si>
    <t xml:space="preserve">bugget is good </t>
  </si>
  <si>
    <t>bugget is low</t>
  </si>
  <si>
    <t>travel time is 30 min</t>
  </si>
  <si>
    <t>20+bugget</t>
  </si>
  <si>
    <t>I have meeting at 8:30 PM</t>
  </si>
  <si>
    <t>my  Schedule</t>
  </si>
  <si>
    <t>bugget</t>
  </si>
  <si>
    <t>meeting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</si>
</sst>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1"/>
      <color theme="1" tint="0.1499984740745262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164" fontId="0" fillId="3" borderId="1" xfId="0" applyNumberFormat="1" applyFill="1" applyBorder="1"/>
    <xf numFmtId="164" fontId="0" fillId="0" borderId="0" xfId="0" applyNumberFormat="1"/>
    <xf numFmtId="0" fontId="0" fillId="3" borderId="1" xfId="0" applyFill="1" applyBorder="1" applyAlignment="1">
      <alignment horizontal="center"/>
    </xf>
    <xf numFmtId="0" fontId="0" fillId="4" borderId="1" xfId="0" applyFill="1" applyBorder="1"/>
    <xf numFmtId="164" fontId="0" fillId="0" borderId="1" xfId="0" applyNumberFormat="1" applyBorder="1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164" fontId="0" fillId="0" borderId="1" xfId="0" applyNumberFormat="1" applyBorder="1"/>
    <xf numFmtId="0" fontId="0" fillId="5" borderId="1" xfId="0" applyFill="1" applyBorder="1"/>
    <xf numFmtId="0" fontId="1" fillId="5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2:W17"/>
  <sheetViews>
    <sheetView tabSelected="1" zoomScale="89" workbookViewId="0">
      <selection activeCell="U15" sqref="U15"/>
    </sheetView>
  </sheetViews>
  <sheetFormatPr defaultRowHeight="14.5" x14ac:dyDescent="0.35"/>
  <cols>
    <col min="5" max="5" width="9.81640625" customWidth="1"/>
    <col min="6" max="6" width="9.54296875" customWidth="1"/>
    <col min="11" max="11" width="10.90625" customWidth="1"/>
    <col min="12" max="13" width="13.453125" customWidth="1"/>
    <col min="14" max="14" width="12.26953125" customWidth="1"/>
    <col min="15" max="15" width="14.7265625" customWidth="1"/>
    <col min="16" max="16" width="13.6328125" customWidth="1"/>
    <col min="17" max="17" width="14.36328125" customWidth="1"/>
    <col min="18" max="18" width="23" customWidth="1"/>
  </cols>
  <sheetData>
    <row r="2" spans="5:23" x14ac:dyDescent="0.35">
      <c r="J2" s="11" t="s">
        <v>48</v>
      </c>
      <c r="K2" s="8">
        <v>60</v>
      </c>
      <c r="M2" t="s">
        <v>47</v>
      </c>
      <c r="N2" t="s">
        <v>46</v>
      </c>
      <c r="S2" t="s">
        <v>5</v>
      </c>
      <c r="V2" t="b">
        <v>0</v>
      </c>
      <c r="W2" t="b">
        <v>1</v>
      </c>
    </row>
    <row r="3" spans="5:23" x14ac:dyDescent="0.35">
      <c r="J3" s="11" t="s">
        <v>45</v>
      </c>
      <c r="K3" s="8">
        <f>K2+20</f>
        <v>80</v>
      </c>
      <c r="N3" t="s">
        <v>44</v>
      </c>
      <c r="S3">
        <v>60</v>
      </c>
      <c r="T3" t="b">
        <f>S3&gt;K2</f>
        <v>0</v>
      </c>
      <c r="V3" t="s">
        <v>43</v>
      </c>
      <c r="W3" t="s">
        <v>42</v>
      </c>
    </row>
    <row r="4" spans="5:23" x14ac:dyDescent="0.35">
      <c r="M4" s="12" t="s">
        <v>49</v>
      </c>
      <c r="N4" s="10">
        <v>0.85416666666666663</v>
      </c>
      <c r="P4" s="11" t="s">
        <v>41</v>
      </c>
      <c r="Q4" s="10">
        <v>2.0833333333333332E-2</v>
      </c>
    </row>
    <row r="6" spans="5:23" x14ac:dyDescent="0.35">
      <c r="E6" s="1" t="s">
        <v>0</v>
      </c>
      <c r="F6" s="1" t="s">
        <v>1</v>
      </c>
      <c r="G6" s="1" t="s">
        <v>2</v>
      </c>
      <c r="H6" s="1" t="s">
        <v>3</v>
      </c>
      <c r="I6" s="1" t="s">
        <v>4</v>
      </c>
      <c r="J6" s="1" t="s">
        <v>5</v>
      </c>
      <c r="K6" s="1" t="s">
        <v>6</v>
      </c>
      <c r="L6" s="1" t="s">
        <v>7</v>
      </c>
      <c r="M6" s="1" t="s">
        <v>8</v>
      </c>
      <c r="N6" s="1" t="s">
        <v>9</v>
      </c>
      <c r="O6" s="1" t="s">
        <v>10</v>
      </c>
      <c r="P6" s="1" t="s">
        <v>11</v>
      </c>
      <c r="Q6" s="1" t="s">
        <v>12</v>
      </c>
      <c r="R6" s="1" t="s">
        <v>13</v>
      </c>
    </row>
    <row r="7" spans="5:23" x14ac:dyDescent="0.35">
      <c r="E7" s="2">
        <v>101</v>
      </c>
      <c r="F7" s="2" t="s">
        <v>14</v>
      </c>
      <c r="G7" s="2">
        <v>20</v>
      </c>
      <c r="H7" s="2" t="s">
        <v>15</v>
      </c>
      <c r="I7" s="2" t="s">
        <v>16</v>
      </c>
      <c r="J7" s="2">
        <v>60</v>
      </c>
      <c r="K7" s="2" t="s">
        <v>17</v>
      </c>
      <c r="L7" s="2" t="s">
        <v>18</v>
      </c>
      <c r="M7" s="3">
        <v>0.83333333333333337</v>
      </c>
      <c r="N7" s="2" t="s">
        <v>19</v>
      </c>
      <c r="O7" s="3">
        <f>Sheet1!N$4-M7</f>
        <v>2.0833333333333259E-2</v>
      </c>
      <c r="P7" s="3" t="str">
        <f>IF(O7&gt;Sheet1!Q$4,"I can travel","cant travel")</f>
        <v>cant travel</v>
      </c>
      <c r="Q7" s="2" t="str">
        <f>IF(Sheet1!K$2&gt;=J7,"bugget is good","bugget is low")</f>
        <v>bugget is good</v>
      </c>
      <c r="R7" s="2" t="str">
        <f>IF(Sheet1!K$2&gt;J7,"bugget is good",IF(Sheet1!K$3&gt;J7,"increase bugget is good","bugget is low"))</f>
        <v>increase bugget is good</v>
      </c>
    </row>
    <row r="8" spans="5:23" x14ac:dyDescent="0.35">
      <c r="E8" s="2">
        <v>102</v>
      </c>
      <c r="F8" s="2" t="s">
        <v>20</v>
      </c>
      <c r="G8" s="2">
        <v>30</v>
      </c>
      <c r="H8" s="2" t="s">
        <v>21</v>
      </c>
      <c r="I8" s="2" t="s">
        <v>22</v>
      </c>
      <c r="J8" s="2">
        <v>50</v>
      </c>
      <c r="K8" s="2" t="s">
        <v>23</v>
      </c>
      <c r="L8" s="2" t="s">
        <v>24</v>
      </c>
      <c r="M8" s="3">
        <v>0.64583333333333337</v>
      </c>
      <c r="N8" s="2" t="s">
        <v>25</v>
      </c>
      <c r="O8" s="3">
        <f>Sheet1!N$4-M8</f>
        <v>0.20833333333333326</v>
      </c>
      <c r="P8" s="3" t="str">
        <f>IF(O8&gt;Sheet1!Q$4,"I can travel","cant travel")</f>
        <v>I can travel</v>
      </c>
      <c r="Q8" s="2" t="str">
        <f>IF(Sheet1!K$2&gt;=J8,"bugget is good","bugget is low")</f>
        <v>bugget is good</v>
      </c>
      <c r="R8" s="2" t="str">
        <f>IF(Sheet1!K$2&gt;J8,"bugget is good",IF(Sheet1!K$3&gt;J8,"increase bugget is good","bugget is low"))</f>
        <v>bugget is good</v>
      </c>
    </row>
    <row r="9" spans="5:23" x14ac:dyDescent="0.35">
      <c r="E9" s="2">
        <v>103</v>
      </c>
      <c r="F9" s="2" t="s">
        <v>26</v>
      </c>
      <c r="G9" s="2">
        <v>50</v>
      </c>
      <c r="H9" s="2" t="s">
        <v>27</v>
      </c>
      <c r="I9" s="2" t="s">
        <v>28</v>
      </c>
      <c r="J9" s="2">
        <v>100</v>
      </c>
      <c r="K9" s="2" t="s">
        <v>17</v>
      </c>
      <c r="L9" s="2" t="s">
        <v>29</v>
      </c>
      <c r="M9" s="3">
        <v>0.34027777777777779</v>
      </c>
      <c r="N9" s="2" t="s">
        <v>30</v>
      </c>
      <c r="O9" s="3">
        <f>Sheet1!N$4-M9</f>
        <v>0.51388888888888884</v>
      </c>
      <c r="P9" s="3" t="str">
        <f>IF(O9&gt;Sheet1!Q$4,"I can travel","cant travel")</f>
        <v>I can travel</v>
      </c>
      <c r="Q9" s="2" t="str">
        <f>IF(Sheet1!K$2&gt;=J9,"bugget is good","bugget is low")</f>
        <v>bugget is low</v>
      </c>
      <c r="R9" s="2" t="str">
        <f>IF(Sheet1!K$2&gt;J9,"bugget is good",IF(Sheet1!K$3&gt;J9,"increase bugget is good","bugget is low"))</f>
        <v>bugget is low</v>
      </c>
    </row>
    <row r="10" spans="5:23" x14ac:dyDescent="0.35">
      <c r="E10" s="2">
        <v>104</v>
      </c>
      <c r="F10" s="2" t="s">
        <v>31</v>
      </c>
      <c r="G10" s="2">
        <v>40</v>
      </c>
      <c r="H10" s="2" t="s">
        <v>27</v>
      </c>
      <c r="I10" s="2" t="s">
        <v>32</v>
      </c>
      <c r="J10" s="2">
        <v>120</v>
      </c>
      <c r="K10" s="2" t="s">
        <v>29</v>
      </c>
      <c r="L10" s="2" t="s">
        <v>24</v>
      </c>
      <c r="M10" s="3">
        <v>2.361111111111111E-2</v>
      </c>
      <c r="N10" s="2" t="s">
        <v>30</v>
      </c>
      <c r="O10" s="3">
        <f>Sheet1!N$4-M10</f>
        <v>0.83055555555555549</v>
      </c>
      <c r="P10" s="3" t="str">
        <f>IF(O10&gt;Sheet1!Q$4,"I can travel","cant travel")</f>
        <v>I can travel</v>
      </c>
      <c r="Q10" s="2" t="str">
        <f>IF(Sheet1!K$2&gt;=J10,"bugget is good","bugget is low")</f>
        <v>bugget is low</v>
      </c>
      <c r="R10" s="2" t="str">
        <f>IF(Sheet1!K$2&gt;J10,"bugget is good",IF(Sheet1!K$3&gt;J10,"increase bugget is good","bugget is low"))</f>
        <v>bugget is low</v>
      </c>
    </row>
    <row r="11" spans="5:23" x14ac:dyDescent="0.35">
      <c r="E11" s="2">
        <v>105</v>
      </c>
      <c r="F11" s="2" t="s">
        <v>33</v>
      </c>
      <c r="G11" s="2">
        <v>10</v>
      </c>
      <c r="H11" s="2" t="s">
        <v>21</v>
      </c>
      <c r="I11" s="2" t="s">
        <v>34</v>
      </c>
      <c r="J11" s="2">
        <v>80</v>
      </c>
      <c r="K11" s="2" t="s">
        <v>17</v>
      </c>
      <c r="L11" s="2" t="s">
        <v>35</v>
      </c>
      <c r="M11" s="3">
        <v>0.99652777777777779</v>
      </c>
      <c r="N11" s="2" t="s">
        <v>19</v>
      </c>
      <c r="O11" s="3">
        <f>Sheet1!N$4-M11</f>
        <v>-0.14236111111111116</v>
      </c>
      <c r="P11" s="3" t="str">
        <f>IF(O11&gt;Sheet1!Q$4,"I can travel","cant travel")</f>
        <v>cant travel</v>
      </c>
      <c r="Q11" s="2" t="str">
        <f>IF(Sheet1!K$2&gt;=J11,"bugget is good","bugget is low")</f>
        <v>bugget is low</v>
      </c>
      <c r="R11" s="2" t="str">
        <f>IF(Sheet1!K$2&gt;J11,"bugget is good",IF(Sheet1!K$3&gt;J11,"increase bugget is good","bugget is low"))</f>
        <v>bugget is low</v>
      </c>
    </row>
    <row r="12" spans="5:23" x14ac:dyDescent="0.35">
      <c r="E12" s="2">
        <v>106</v>
      </c>
      <c r="F12" s="2" t="s">
        <v>36</v>
      </c>
      <c r="G12" s="2">
        <v>30</v>
      </c>
      <c r="H12" s="2" t="s">
        <v>37</v>
      </c>
      <c r="I12" s="2" t="s">
        <v>38</v>
      </c>
      <c r="J12" s="2">
        <v>60</v>
      </c>
      <c r="K12" s="2" t="s">
        <v>35</v>
      </c>
      <c r="L12" s="2" t="s">
        <v>24</v>
      </c>
      <c r="M12" s="3">
        <v>0.50347222222222221</v>
      </c>
      <c r="N12" s="2" t="s">
        <v>25</v>
      </c>
      <c r="O12" s="3">
        <f>Sheet1!N$4-M12</f>
        <v>0.35069444444444442</v>
      </c>
      <c r="P12" s="3" t="str">
        <f>IF(O12&gt;Sheet1!Q$4,"I can travel","cant travel")</f>
        <v>I can travel</v>
      </c>
      <c r="Q12" s="2" t="str">
        <f>IF(Sheet1!K$2&gt;=J12,"bugget is good","bugget is low")</f>
        <v>bugget is good</v>
      </c>
      <c r="R12" s="2" t="str">
        <f>IF(Sheet1!K$2&gt;J12,"bugget is good",IF(Sheet1!K$3&gt;J12,"increase bugget is good","bugget is low"))</f>
        <v>increase bugget is good</v>
      </c>
    </row>
    <row r="13" spans="5:23" x14ac:dyDescent="0.35">
      <c r="O13" s="4"/>
      <c r="P13" s="4"/>
    </row>
    <row r="15" spans="5:23" x14ac:dyDescent="0.35">
      <c r="I15" s="5" t="s">
        <v>39</v>
      </c>
      <c r="J15" s="5"/>
      <c r="K15" s="5"/>
    </row>
    <row r="16" spans="5:23" x14ac:dyDescent="0.35">
      <c r="O16" s="6" t="s">
        <v>40</v>
      </c>
      <c r="P16" s="7">
        <f>_xlfn.MINIFS(O7:O12,P7:P12,"I can travel")</f>
        <v>0.20833333333333326</v>
      </c>
      <c r="Q16" s="8">
        <f>MATCH(P16,O7:O12)</f>
        <v>2</v>
      </c>
    </row>
    <row r="17" spans="16:16" x14ac:dyDescent="0.35">
      <c r="P17" s="9" t="str" cm="1">
        <f t="array" ref="P17">INDEX(Sheet1!I7:I12,Sheet1!Q16)</f>
        <v>T-102</v>
      </c>
    </row>
  </sheetData>
  <mergeCells count="1">
    <mergeCell ref="I15:K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2026-03-17T15:03:08Z</dcterms:modified>
</cp:coreProperties>
</file>